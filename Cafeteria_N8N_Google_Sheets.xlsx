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bb55a9610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9177fc4d6f7e4487"/>
    <x:sheet xmlns:r="http://schemas.openxmlformats.org/officeDocument/2006/relationships" name="MENU" sheetId="2" r:id="R31b0fd1f8cf142f9"/>
    <x:sheet xmlns:r="http://schemas.openxmlformats.org/officeDocument/2006/relationships" name="PEDIDOS" sheetId="3" r:id="R1b832461c53c4864"/>
    <x:sheet xmlns:r="http://schemas.openxmlformats.org/officeDocument/2006/relationships" name="PRUEBAS" sheetId="4" r:id="R195e1cff40c84112"/>
    <x:sheet xmlns:r="http://schemas.openxmlformats.org/officeDocument/2006/relationships" name="RESUMEN" sheetId="5" r:id="R159a6ec847f4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33333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843C0C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312c872344446" /><Relationship Type="http://schemas.openxmlformats.org/officeDocument/2006/relationships/theme" Target="/xl/theme/theme1.xml" Id="Re9d257ccb517455f" /><Relationship Type="http://schemas.openxmlformats.org/officeDocument/2006/relationships/sharedStrings" Target="/xl/sharedStrings.xml" Id="R2092ff4ccf88478a" /><Relationship Type="http://schemas.openxmlformats.org/officeDocument/2006/relationships/worksheet" Target="/xl/worksheets/sheet1.xml" Id="R9177fc4d6f7e4487" /><Relationship Type="http://schemas.openxmlformats.org/officeDocument/2006/relationships/worksheet" Target="/xl/worksheets/sheet2.xml" Id="R31b0fd1f8cf142f9" /><Relationship Type="http://schemas.openxmlformats.org/officeDocument/2006/relationships/worksheet" Target="/xl/worksheets/sheet3.xml" Id="R1b832461c53c4864" /><Relationship Type="http://schemas.openxmlformats.org/officeDocument/2006/relationships/worksheet" Target="/xl/worksheets/sheet4.xml" Id="R195e1cff40c84112" /><Relationship Type="http://schemas.openxmlformats.org/officeDocument/2006/relationships/worksheet" Target="/xl/worksheets/sheet5.xml" Id="R159a6ec847f447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58" hidden="0" customWidth="1"/>
  </x:cols>
  <x:sheetData>
    <x:row r="1">
      <x:c r="A1" s="14" t="str">
        <x:v>CLAVE</x:v>
      </x:c>
      <x:c r="B1" s="14" t="str">
        <x:v>VALOR</x:v>
      </x:c>
      <x:c r="C1" s="14" t="str">
        <x:v>DESCRIPCIÓN</x:v>
      </x:c>
    </x:row>
    <x:row r="2">
      <x:c r="A2" s="15" t="str">
        <x:v>NOMBRE_CAFETERIA</x:v>
      </x:c>
      <x:c r="B2" s="16" t="str">
        <x:v>Cafetería Campus</x:v>
      </x:c>
      <x:c r="C2" s="16" t="str">
        <x:v>Nombre mostrado por el bot.</x:v>
      </x:c>
    </x:row>
    <x:row r="3">
      <x:c r="A3" s="15" t="str">
        <x:v>TIMEZONE</x:v>
      </x:c>
      <x:c r="B3" s="16" t="str">
        <x:v>America/Bogota</x:v>
      </x:c>
      <x:c r="C3" s="16" t="str">
        <x:v>Zona horaria usada para validar $now.</x:v>
      </x:c>
    </x:row>
    <x:row r="4">
      <x:c r="A4" s="15" t="str">
        <x:v>DIAS_ATENCION</x:v>
      </x:c>
      <x:c r="B4" s="16" t="str">
        <x:v>1,2,3,4,5</x:v>
      </x:c>
      <x:c r="C4" s="16" t="str">
        <x:v>Luxon: 1=Lunes ... 7=Domingo.</x:v>
      </x:c>
    </x:row>
    <x:row r="5">
      <x:c r="A5" s="15" t="str">
        <x:v>HORA_APERTURA</x:v>
      </x:c>
      <x:c r="B5" s="16" t="str">
        <x:v>08:00</x:v>
      </x:c>
      <x:c r="C5" s="16" t="str">
        <x:v>Hora de apertura en formato HH:mm.</x:v>
      </x:c>
    </x:row>
    <x:row r="6">
      <x:c r="A6" s="15" t="str">
        <x:v>HORA_CIERRE</x:v>
      </x:c>
      <x:c r="B6" s="16" t="str">
        <x:v>17:00</x:v>
      </x:c>
      <x:c r="C6" s="16" t="str">
        <x:v>Hora de cierre en formato HH:mm.</x:v>
      </x:c>
    </x:row>
    <x:row r="7">
      <x:c r="A7" s="15" t="str">
        <x:v>MONEDA</x:v>
      </x:c>
      <x:c r="B7" s="16" t="str">
        <x:v>COP</x:v>
      </x:c>
      <x:c r="C7" s="16" t="str">
        <x:v>Moneda para mostrar precios.</x:v>
      </x:c>
    </x:row>
    <x:row r="8">
      <x:c r="A8" s="15" t="str">
        <x:v>MENSAJE_CERRADO</x:v>
      </x:c>
      <x:c r="B8" s="16" t="str">
        <x:v>🌙 Cafetería Cerrada. Nuestro horario es de Lunes a Viernes, 8am a 5pm. ¡Te esperamos mañana!</x:v>
      </x:c>
      <x:c r="C8" s="16" t="str">
        <x:v>Mensaje obligatorio del examen.</x:v>
      </x:c>
    </x:row>
    <x:row r="9">
      <x:c r="A9" s="15" t="str">
        <x:v>INSTRUCCION_PEDIDO</x:v>
      </x:c>
      <x:c r="B9" s="16" t="str">
        <x:v>Escribe tu pedido así: PEDIDO: 1 Café Americano, 2 Empanadas</x:v>
      </x:c>
      <x:c r="C9" s="16" t="str">
        <x:v>Formato de pedido aceptado por texto.</x:v>
      </x:c>
    </x:row>
    <x:row r="10">
      <x:c r="A10" s="15" t="str">
        <x:v>ESTADO_SISTEMA</x:v>
      </x:c>
      <x:c r="B10" s="16" t="str">
        <x:v>ACTIVO</x:v>
      </x:c>
      <x:c r="C10" s="16" t="str">
        <x:v>Control administrativo informativo.</x:v>
      </x:c>
    </x:row>
    <x:row r="11">
      <x:c r="A11" s="15" t="str">
        <x:v>SPREADSHEET_ID</x:v>
      </x:c>
      <x:c r="B11" s="16" t="str">
        <x:v>PEGAR_ID_EN_NODO_CONFIG_GLOBAL_DE_N8N</x:v>
      </x:c>
      <x:c r="C11" s="16" t="str">
        <x:v>Después de abrir este archivo como Google Sheets, copia el ID de la URL y pégalo una sola vez en CONFIG_GLOBAL del workflow.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34" hidden="0" customWidth="1"/>
    <x:col min="5" max="5" width="14" hidden="0" customWidth="1"/>
    <x:col min="6" max="6" width="14" hidden="0" customWidth="1"/>
    <x:col min="7" max="7" width="10" hidden="0" customWidth="1"/>
  </x:cols>
  <x:sheetData>
    <x:row r="1">
      <x:c r="A1" s="14" t="str">
        <x:v>PRODUCTO_ID</x:v>
      </x:c>
      <x:c r="B1" s="14" t="str">
        <x:v>CATEGORIA</x:v>
      </x:c>
      <x:c r="C1" s="14" t="str">
        <x:v>PRODUCTO</x:v>
      </x:c>
      <x:c r="D1" s="14" t="str">
        <x:v>DESCRIPCION</x:v>
      </x:c>
      <x:c r="E1" s="14" t="str">
        <x:v>PRECIO</x:v>
      </x:c>
      <x:c r="F1" s="14" t="str">
        <x:v>DISPONIBLE</x:v>
      </x:c>
      <x:c r="G1" s="14" t="str">
        <x:v>ORDEN</x:v>
      </x:c>
    </x:row>
    <x:row r="2">
      <x:c r="A2" s="16" t="str">
        <x:v>CAF001</x:v>
      </x:c>
      <x:c r="B2" s="16" t="str">
        <x:v>Bebidas calientes</x:v>
      </x:c>
      <x:c r="C2" s="16" t="str">
        <x:v>Café Americano</x:v>
      </x:c>
      <x:c r="D2" s="16" t="str">
        <x:v>Café negro recién preparado</x:v>
      </x:c>
      <x:c r="E2" s="22" t="n">
        <x:v>3500</x:v>
      </x:c>
      <x:c r="F2" s="16" t="str">
        <x:v>SI</x:v>
      </x:c>
      <x:c r="G2" s="16" t="n">
        <x:v>1</x:v>
      </x:c>
    </x:row>
    <x:row r="3">
      <x:c r="A3" s="16" t="str">
        <x:v>CAF002</x:v>
      </x:c>
      <x:c r="B3" s="16" t="str">
        <x:v>Bebidas calientes</x:v>
      </x:c>
      <x:c r="C3" s="16" t="str">
        <x:v>Cappuccino</x:v>
      </x:c>
      <x:c r="D3" s="16" t="str">
        <x:v>Café con leche espumada</x:v>
      </x:c>
      <x:c r="E3" s="22" t="n">
        <x:v>5500</x:v>
      </x:c>
      <x:c r="F3" s="16" t="str">
        <x:v>SI</x:v>
      </x:c>
      <x:c r="G3" s="16" t="n">
        <x:v>2</x:v>
      </x:c>
    </x:row>
    <x:row r="4">
      <x:c r="A4" s="16" t="str">
        <x:v>BEB001</x:v>
      </x:c>
      <x:c r="B4" s="16" t="str">
        <x:v>Bebidas frías</x:v>
      </x:c>
      <x:c r="C4" s="16" t="str">
        <x:v>Agua</x:v>
      </x:c>
      <x:c r="D4" s="16" t="str">
        <x:v>Botella de agua</x:v>
      </x:c>
      <x:c r="E4" s="22" t="n">
        <x:v>2500</x:v>
      </x:c>
      <x:c r="F4" s="16" t="str">
        <x:v>SI</x:v>
      </x:c>
      <x:c r="G4" s="16" t="n">
        <x:v>3</x:v>
      </x:c>
    </x:row>
    <x:row r="5">
      <x:c r="A5" s="16" t="str">
        <x:v>BEB002</x:v>
      </x:c>
      <x:c r="B5" s="16" t="str">
        <x:v>Bebidas frías</x:v>
      </x:c>
      <x:c r="C5" s="16" t="str">
        <x:v>Jugo natural</x:v>
      </x:c>
      <x:c r="D5" s="16" t="str">
        <x:v>Jugo del día</x:v>
      </x:c>
      <x:c r="E5" s="22" t="n">
        <x:v>5000</x:v>
      </x:c>
      <x:c r="F5" s="16" t="str">
        <x:v>SI</x:v>
      </x:c>
      <x:c r="G5" s="16" t="n">
        <x:v>4</x:v>
      </x:c>
    </x:row>
    <x:row r="6">
      <x:c r="A6" s="16" t="str">
        <x:v>COM001</x:v>
      </x:c>
      <x:c r="B6" s="16" t="str">
        <x:v>Comidas rápidas</x:v>
      </x:c>
      <x:c r="C6" s="16" t="str">
        <x:v>Empanada</x:v>
      </x:c>
      <x:c r="D6" s="16" t="str">
        <x:v>Empanada tradicional</x:v>
      </x:c>
      <x:c r="E6" s="22" t="n">
        <x:v>3000</x:v>
      </x:c>
      <x:c r="F6" s="16" t="str">
        <x:v>SI</x:v>
      </x:c>
      <x:c r="G6" s="16" t="n">
        <x:v>5</x:v>
      </x:c>
    </x:row>
    <x:row r="7">
      <x:c r="A7" s="16" t="str">
        <x:v>COM002</x:v>
      </x:c>
      <x:c r="B7" s="16" t="str">
        <x:v>Comidas rápidas</x:v>
      </x:c>
      <x:c r="C7" s="16" t="str">
        <x:v>Sándwich</x:v>
      </x:c>
      <x:c r="D7" s="16" t="str">
        <x:v>Sándwich de jamón y queso</x:v>
      </x:c>
      <x:c r="E7" s="22" t="n">
        <x:v>8500</x:v>
      </x:c>
      <x:c r="F7" s="16" t="str">
        <x:v>SI</x:v>
      </x:c>
      <x:c r="G7" s="16" t="n">
        <x:v>6</x:v>
      </x:c>
    </x:row>
    <x:row r="8">
      <x:c r="A8" s="16" t="str">
        <x:v>COM003</x:v>
      </x:c>
      <x:c r="B8" s="16" t="str">
        <x:v>Comidas rápidas</x:v>
      </x:c>
      <x:c r="C8" s="16" t="str">
        <x:v>Hamburguesa</x:v>
      </x:c>
      <x:c r="D8" s="16" t="str">
        <x:v>Hamburguesa clásica</x:v>
      </x:c>
      <x:c r="E8" s="22" t="n">
        <x:v>14000</x:v>
      </x:c>
      <x:c r="F8" s="16" t="str">
        <x:v>SI</x:v>
      </x:c>
      <x:c r="G8" s="16" t="n">
        <x:v>7</x:v>
      </x:c>
    </x:row>
    <x:row r="9">
      <x:c r="A9" s="16" t="str">
        <x:v>DUL001</x:v>
      </x:c>
      <x:c r="B9" s="16" t="str">
        <x:v>Dulces</x:v>
      </x:c>
      <x:c r="C9" s="16" t="str">
        <x:v>Brownie</x:v>
      </x:c>
      <x:c r="D9" s="16" t="str">
        <x:v>Brownie de chocolate</x:v>
      </x:c>
      <x:c r="E9" s="22" t="n">
        <x:v>4500</x:v>
      </x:c>
      <x:c r="F9" s="16" t="str">
        <x:v>SI</x:v>
      </x:c>
      <x:c r="G9" s="16" t="n">
        <x:v>8</x:v>
      </x:c>
    </x:row>
  </x:sheetData>
  <x:dataValidations count="1">
    <x:dataValidation type="list" sqref="F2:F100">
      <x:formula1>"SI,NO"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16" hidden="0" customWidth="1"/>
    <x:col min="5" max="5" width="20" hidden="0" customWidth="1"/>
    <x:col min="6" max="6" width="18" hidden="0" customWidth="1"/>
    <x:col min="7" max="7" width="24" hidden="0" customWidth="1"/>
    <x:col min="8" max="8" width="48" hidden="0" customWidth="1"/>
    <x:col min="9" max="9" width="16" hidden="0" customWidth="1"/>
    <x:col min="10" max="10" width="14" hidden="0" customWidth="1"/>
    <x:col min="11" max="11" width="20" hidden="0" customWidth="1"/>
  </x:cols>
  <x:sheetData>
    <x:row r="1">
      <x:c r="A1" s="14" t="str">
        <x:v>PEDIDO_ID</x:v>
      </x:c>
      <x:c r="B1" s="14" t="str">
        <x:v>FECHA_CREACION</x:v>
      </x:c>
      <x:c r="C1" s="14" t="str">
        <x:v>FECHA_CONFIRMACION</x:v>
      </x:c>
      <x:c r="D1" s="14" t="str">
        <x:v>CHAT_ID</x:v>
      </x:c>
      <x:c r="E1" s="14" t="str">
        <x:v>TELEGRAM_USER_ID</x:v>
      </x:c>
      <x:c r="F1" s="14" t="str">
        <x:v>USERNAME</x:v>
      </x:c>
      <x:c r="G1" s="14" t="str">
        <x:v>NOMBRE</x:v>
      </x:c>
      <x:c r="H1" s="14" t="str">
        <x:v>DETALLE</x:v>
      </x:c>
      <x:c r="I1" s="14" t="str">
        <x:v>ESTADO</x:v>
      </x:c>
      <x:c r="J1" s="14" t="str">
        <x:v>CANAL</x:v>
      </x:c>
      <x:c r="K1" s="14" t="str">
        <x:v>HORA_LOCAL</x:v>
      </x:c>
    </x:row>
    <x:row r="2">
      <x:c r="A2" s="16" t="str"/>
      <x:c r="B2" s="16" t="str"/>
      <x:c r="C2" s="16" t="str"/>
      <x:c r="D2" s="16" t="str"/>
      <x:c r="E2" s="16" t="str"/>
      <x:c r="F2" s="16" t="str"/>
      <x:c r="G2" s="16" t="str"/>
      <x:c r="H2" s="16" t="str"/>
      <x:c r="I2" s="16" t="str"/>
      <x:c r="J2" s="16" t="str"/>
      <x:c r="K2" s="16" t="str"/>
    </x:row>
  </x:sheetData>
  <x:dataValidations count="1">
    <x:dataValidation type="list" sqref="I2:I500">
      <x:formula1>"PENDIENTE,CONFIRMADO,CANCELADO"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24" hidden="0" customWidth="1"/>
    <x:col min="5" max="5" width="48" hidden="0" customWidth="1"/>
    <x:col min="6" max="6" width="14" hidden="0" customWidth="1"/>
  </x:cols>
  <x:sheetData>
    <x:row r="1">
      <x:c r="A1" s="14" t="str">
        <x:v>CASO</x:v>
      </x:c>
      <x:c r="B1" s="14" t="str">
        <x:v>DÍA/HORA</x:v>
      </x:c>
      <x:c r="C1" s="14" t="str">
        <x:v>ACCIÓN</x:v>
      </x:c>
      <x:c r="D1" s="14" t="str">
        <x:v>RESULTADO ESPERADO</x:v>
      </x:c>
      <x:c r="E1" s="14" t="str">
        <x:v>MENSAJE/EFECTO</x:v>
      </x:c>
      <x:c r="F1" s="14" t="str">
        <x:v>ESTADO</x:v>
      </x:c>
    </x:row>
    <x:row r="2">
      <x:c r="A2" s="16" t="str">
        <x:v>P-01</x:v>
      </x:c>
      <x:c r="B2" s="16" t="str">
        <x:v>Martes 10:00</x:v>
      </x:c>
      <x:c r="C2" s="16" t="str">
        <x:v>Realizar Pedido</x:v>
      </x:c>
      <x:c r="D2" s="16" t="str">
        <x:v>PERMITIR</x:v>
      </x:c>
      <x:c r="E2" s="16" t="str">
        <x:v>Debe mostrar instrucciones para escribir PEDIDO:</x:v>
      </x:c>
      <x:c r="F2" s="16" t="str">
        <x:v>PENDIENTE</x:v>
      </x:c>
    </x:row>
    <x:row r="3">
      <x:c r="A3" s="16" t="str">
        <x:v>P-02</x:v>
      </x:c>
      <x:c r="B3" s="16" t="str">
        <x:v>Martes 23:00</x:v>
      </x:c>
      <x:c r="C3" s="16" t="str">
        <x:v>Realizar Pedido</x:v>
      </x:c>
      <x:c r="D3" s="16" t="str">
        <x:v>BLOQUEAR</x:v>
      </x:c>
      <x:c r="E3" s="16" t="str">
        <x:v>🌙 Cafetería Cerrada...</x:v>
      </x:c>
      <x:c r="F3" s="16" t="str">
        <x:v>PENDIENTE</x:v>
      </x:c>
    </x:row>
    <x:row r="4">
      <x:c r="A4" s="16" t="str">
        <x:v>P-03</x:v>
      </x:c>
      <x:c r="B4" s="16" t="str">
        <x:v>Sábado 10:00</x:v>
      </x:c>
      <x:c r="C4" s="16" t="str">
        <x:v>Realizar Pedido</x:v>
      </x:c>
      <x:c r="D4" s="16" t="str">
        <x:v>BLOQUEAR</x:v>
      </x:c>
      <x:c r="E4" s="16" t="str">
        <x:v>🌙 Cafetería Cerrada...</x:v>
      </x:c>
      <x:c r="F4" s="16" t="str">
        <x:v>PENDIENTE</x:v>
      </x:c>
    </x:row>
    <x:row r="5">
      <x:c r="A5" s="16" t="str">
        <x:v>P-04</x:v>
      </x:c>
      <x:c r="B5" s="16" t="str">
        <x:v>Domingo 12:00</x:v>
      </x:c>
      <x:c r="C5" s="16" t="str">
        <x:v>Consultar Menú</x:v>
      </x:c>
      <x:c r="D5" s="16" t="str">
        <x:v>PERMITIR</x:v>
      </x:c>
      <x:c r="E5" s="16" t="str">
        <x:v>Debe mostrar MENU aunque esté cerrado.</x:v>
      </x:c>
      <x:c r="F5" s="16" t="str">
        <x:v>PENDIENTE</x:v>
      </x:c>
    </x:row>
    <x:row r="6">
      <x:c r="A6" s="16" t="str">
        <x:v>P-05</x:v>
      </x:c>
      <x:c r="B6" s="16" t="str">
        <x:v>Viernes 16:59</x:v>
      </x:c>
      <x:c r="C6" s="16" t="str">
        <x:v>Confirmar Pedido</x:v>
      </x:c>
      <x:c r="D6" s="16" t="str">
        <x:v>PERMITIR</x:v>
      </x:c>
      <x:c r="E6" s="16" t="str">
        <x:v>Actualiza ESTADO a CONFIRMADO.</x:v>
      </x:c>
      <x:c r="F6" s="16" t="str">
        <x:v>PENDIENTE</x:v>
      </x:c>
    </x:row>
    <x:row r="7">
      <x:c r="A7" s="16" t="str">
        <x:v>P-06</x:v>
      </x:c>
      <x:c r="B7" s="16" t="str">
        <x:v>Viernes 17:01</x:v>
      </x:c>
      <x:c r="C7" s="16" t="str">
        <x:v>Confirmar Pedido</x:v>
      </x:c>
      <x:c r="D7" s="16" t="str">
        <x:v>BLOQUEAR</x:v>
      </x:c>
      <x:c r="E7" s="16" t="str">
        <x:v>No debe confirmar; envía mensaje de cierre.</x:v>
      </x:c>
      <x:c r="F7" s="16" t="str">
        <x:v>PENDIENTE</x:v>
      </x:c>
    </x:row>
    <x:row r="8">
      <x:c r="A8" s="16" t="str">
        <x:v>P-07</x:v>
      </x:c>
      <x:c r="B8" s="16" t="str">
        <x:v>Lunes 08:00</x:v>
      </x:c>
      <x:c r="C8" s="16" t="str">
        <x:v>Realizar Pedido</x:v>
      </x:c>
      <x:c r="D8" s="16" t="str">
        <x:v>PERMITIR</x:v>
      </x:c>
      <x:c r="E8" s="16" t="str">
        <x:v>Inicio del horario incluido.</x:v>
      </x:c>
      <x:c r="F8" s="16" t="str">
        <x:v>PENDIENTE</x:v>
      </x:c>
    </x:row>
    <x:row r="9">
      <x:c r="A9" s="16" t="str">
        <x:v>P-08</x:v>
      </x:c>
      <x:c r="B9" s="16" t="str">
        <x:v>Lunes 17:00</x:v>
      </x:c>
      <x:c r="C9" s="16" t="str">
        <x:v>Realizar Pedido</x:v>
      </x:c>
      <x:c r="D9" s="16" t="str">
        <x:v>PERMITIR</x:v>
      </x:c>
      <x:c r="E9" s="16" t="str">
        <x:v>Cierre incluido hasta el minuto 17:00.</x:v>
      </x:c>
      <x:c r="F9" s="16" t="str">
        <x:v>PENDIENTE</x:v>
      </x:c>
    </x:row>
  </x:sheetData>
  <x:conditionalFormatting sqref="D2:D9">
    <x:cfRule type="expression" dxfId="0" priority="1">
      <x:formula>D2="PERMITIR"</x:formula>
    </x:cfRule>
    <x:cfRule type="expression" dxfId="1" priority="2">
      <x:formula>D2="BLOQUEAR"</x:formula>
    </x:cfRule>
  </x:conditionalFormatting>
  <x:dataValidations count="1">
    <x:dataValidation type="list" sqref="F2:F50">
      <x:formula1>"PENDIENTE,OK,FALLÓ"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</x:cols>
  <x:sheetData>
    <x:row r="1">
      <x:c r="A1" s="14" t="str">
        <x:v>INDICADOR</x:v>
      </x:c>
      <x:c r="B1" s="14" t="str">
        <x:v>VALOR</x:v>
      </x:c>
    </x:row>
    <x:row r="2">
      <x:c r="A2" s="16" t="str">
        <x:v>Pedidos totales</x:v>
      </x:c>
      <x:c r="B2" s="16" t="n">
        <x:f>MAX(COUNTA(PEDIDOS!A:A)-1,0)</x:f>
        <x:v>1</x:v>
      </x:c>
    </x:row>
    <x:row r="3">
      <x:c r="A3" s="16" t="str">
        <x:v>Pendientes</x:v>
      </x:c>
      <x:c r="B3" s="16" t="n">
        <x:f>COUNTIF(PEDIDOS!I:I,"PENDIENTE")</x:f>
        <x:v>0</x:v>
      </x:c>
    </x:row>
    <x:row r="4">
      <x:c r="A4" s="16" t="str">
        <x:v>Confirmados</x:v>
      </x:c>
      <x:c r="B4" s="16" t="n">
        <x:f>COUNTIF(PEDIDOS!I:I,"CONFIRMADO")</x:f>
        <x:v>0</x:v>
      </x:c>
    </x:row>
    <x:row r="5">
      <x:c r="A5" s="16" t="str">
        <x:v>Cancelados</x:v>
      </x:c>
      <x:c r="B5" s="16" t="n">
        <x:f>COUNTIF(PEDIDOS!I:I,"CANCELADO")</x:f>
        <x:v>0</x:v>
      </x:c>
    </x:row>
    <x:row r="8">
      <x:c r="A8" s="32" t="str">
        <x:v>REGLA</x:v>
      </x:c>
      <x:c r="B8" s="32" t="str">
        <x:v>COMPORTAMIENTO</x:v>
      </x:c>
    </x:row>
    <x:row r="9">
      <x:c r="A9" s="16" t="str">
        <x:v>Consultar menú</x:v>
      </x:c>
      <x:c r="B9" s="16" t="str">
        <x:v>Disponible 24/7</x:v>
      </x:c>
    </x:row>
    <x:row r="10">
      <x:c r="A10" s="16" t="str">
        <x:v>Realizar pedido</x:v>
      </x:c>
      <x:c r="B10" s="16" t="str">
        <x:v>Solo L-V 08:00–17:00</x:v>
      </x:c>
    </x:row>
    <x:row r="11">
      <x:c r="A11" s="16" t="str">
        <x:v>Confirmar pedido</x:v>
      </x:c>
      <x:c r="B11" s="16" t="str">
        <x:v>Solo L-V 08:00–17:00</x:v>
      </x:c>
    </x:row>
  </x:sheetData>
  <x:pageMargins left="0.7" right="0.7" top="0.75" bottom="0.75" header="0.3" footer="0.3"/>
</x:worksheet>
</file>